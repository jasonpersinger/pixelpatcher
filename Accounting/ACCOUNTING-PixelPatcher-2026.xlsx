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Mileage" sheetId="4" state="visible" r:id="rId4"/>
    <sheet xmlns:r="http://schemas.openxmlformats.org/officeDocument/2006/relationships" name="Job Log" sheetId="5" state="visible" r:id="rId5"/>
    <sheet xmlns:r="http://schemas.openxmlformats.org/officeDocument/2006/relationships" name="Client Roster" sheetId="6" state="visible" r:id="rId6"/>
    <sheet xmlns:r="http://schemas.openxmlformats.org/officeDocument/2006/relationships" name="Parts Tracker" sheetId="7" state="visible" r:id="rId7"/>
    <sheet xmlns:r="http://schemas.openxmlformats.org/officeDocument/2006/relationships" name="Invo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&quot; mi&quot;"/>
    <numFmt numFmtId="166" formatCode="&quot;$&quot;0.00&quot;/mi&quot;"/>
    <numFmt numFmtId="167" formatCode="0.0"/>
  </numFmts>
  <fonts count="30">
    <font>
      <name val="Calibri"/>
      <family val="2"/>
      <color theme="1"/>
      <sz val="11"/>
      <scheme val="minor"/>
    </font>
    <font>
      <name val="Calibri"/>
      <b val="1"/>
      <color rgb="00C9A000"/>
      <sz val="15"/>
    </font>
    <font>
      <name val="Calibri"/>
      <b val="1"/>
      <color rgb="00888888"/>
      <sz val="8"/>
    </font>
    <font>
      <name val="Calibri"/>
      <b val="1"/>
      <color rgb="0027AE60"/>
      <sz val="18"/>
    </font>
    <font>
      <name val="Calibri"/>
      <i val="1"/>
      <color rgb="00333333"/>
      <sz val="8"/>
    </font>
    <font>
      <name val="Calibri"/>
      <b val="1"/>
      <color rgb="00E74C3C"/>
      <sz val="18"/>
    </font>
    <font>
      <name val="Calibri"/>
      <b val="1"/>
      <color rgb="00FFFFFF"/>
      <sz val="18"/>
    </font>
    <font>
      <name val="Calibri"/>
      <b val="1"/>
      <color rgb="005DADE2"/>
      <sz val="18"/>
    </font>
    <font>
      <name val="Calibri"/>
      <b val="1"/>
      <color rgb="00C9A000"/>
      <sz val="18"/>
    </font>
    <font>
      <name val="Calibri"/>
      <b val="1"/>
      <color rgb="00E67E22"/>
      <sz val="18"/>
    </font>
    <font>
      <name val="Calibri"/>
      <b val="1"/>
      <color rgb="00C9A000"/>
      <sz val="11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color rgb="00FFFFFF"/>
      <sz val="10"/>
    </font>
    <font>
      <name val="Calibri"/>
      <b val="1"/>
      <color rgb="00C9A000"/>
      <sz val="10"/>
    </font>
    <font>
      <name val="Calibri"/>
      <i val="1"/>
      <color rgb="00888888"/>
      <sz val="9"/>
    </font>
    <font>
      <name val="Calibri"/>
      <b val="1"/>
      <color rgb="00C9A000"/>
      <sz val="12"/>
    </font>
    <font>
      <name val="Calibri"/>
      <b val="1"/>
      <color rgb="00C9A000"/>
      <sz val="9"/>
    </font>
    <font>
      <name val="Calibri"/>
      <i val="1"/>
      <color rgb="00888888"/>
      <sz val="8"/>
    </font>
    <font>
      <name val="Calibri"/>
      <b val="1"/>
      <color rgb="00C9A000"/>
      <sz val="22"/>
    </font>
    <font>
      <name val="Calibri"/>
      <b val="1"/>
      <color rgb="00FFFFFF"/>
      <sz val="22"/>
    </font>
    <font>
      <name val="Calibri"/>
      <color rgb="00888888"/>
      <sz val="8"/>
    </font>
    <font>
      <name val="Calibri"/>
      <b val="1"/>
      <color rgb="00333333"/>
      <sz val="8"/>
    </font>
    <font>
      <name val="Calibri"/>
      <color rgb="00111111"/>
      <sz val="10"/>
    </font>
    <font>
      <name val="Calibri"/>
      <b val="1"/>
      <color rgb="00000000"/>
      <sz val="8"/>
    </font>
    <font>
      <name val="Calibri"/>
      <color rgb="00333333"/>
      <sz val="10"/>
    </font>
    <font>
      <name val="Calibri"/>
      <b val="1"/>
      <color rgb="00000000"/>
      <sz val="10"/>
    </font>
    <font>
      <name val="Calibri"/>
      <b val="1"/>
      <color rgb="00000000"/>
      <sz val="12"/>
    </font>
  </fonts>
  <fills count="11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/>
    </fill>
    <fill>
      <patternFill patternType="solid">
        <fgColor rgb="00161616"/>
      </patternFill>
    </fill>
    <fill>
      <patternFill patternType="solid">
        <fgColor rgb="001F1F1F"/>
      </patternFill>
    </fill>
    <fill>
      <patternFill patternType="solid">
        <fgColor rgb="004B2A8C"/>
      </patternFill>
    </fill>
    <fill>
      <patternFill patternType="solid">
        <fgColor rgb="00FFFFFF"/>
      </patternFill>
    </fill>
    <fill>
      <patternFill patternType="solid">
        <fgColor rgb="00C9A000"/>
      </patternFill>
    </fill>
    <fill>
      <patternFill patternType="solid">
        <fgColor rgb="00F5F5F5"/>
      </patternFill>
    </fill>
    <fill>
      <patternFill patternType="solid">
        <fgColor rgb="00FAFAFA"/>
      </patternFill>
    </fill>
  </fills>
  <borders count="8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  <border>
      <left style="medium">
        <color rgb="00C9A000"/>
      </left>
      <right style="medium">
        <color rgb="00C9A000"/>
      </right>
      <top style="medium">
        <color rgb="00C9A000"/>
      </top>
      <bottom style="medium">
        <color rgb="00C9A000"/>
      </bottom>
    </border>
    <border>
      <bottom style="thin">
        <color rgb="00CCCCCC"/>
      </bottom>
    </border>
    <border>
      <right/>
      <bottom style="thin">
        <color rgb="00CCCCCC"/>
      </bottom>
    </border>
    <border>
      <left/>
      <right/>
      <top/>
      <bottom style="thin">
        <color rgb="00CCCCCC"/>
      </bottom>
      <diagonal/>
    </border>
    <border>
      <bottom style="thin">
        <color rgb="00EEEEEE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49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49" fontId="12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/>
    </xf>
    <xf numFmtId="49" fontId="16" fillId="3" borderId="3" applyAlignment="1" pivotButton="0" quotePrefix="0" xfId="0">
      <alignment horizontal="center" vertical="center"/>
    </xf>
    <xf numFmtId="164" fontId="13" fillId="3" borderId="3" applyAlignment="1" pivotButton="0" quotePrefix="0" xfId="0">
      <alignment horizontal="center" vertical="center"/>
    </xf>
    <xf numFmtId="164" fontId="14" fillId="3" borderId="3" applyAlignment="1" pivotButton="0" quotePrefix="0" xfId="0">
      <alignment horizontal="center" vertical="center"/>
    </xf>
    <xf numFmtId="164" fontId="15" fillId="3" borderId="3" applyAlignment="1" pivotButton="0" quotePrefix="0" xfId="0">
      <alignment horizontal="center" vertical="center"/>
    </xf>
    <xf numFmtId="49" fontId="12" fillId="4" borderId="1" applyAlignment="1" pivotButton="0" quotePrefix="0" xfId="0">
      <alignment horizontal="left" vertical="center"/>
    </xf>
    <xf numFmtId="49" fontId="12" fillId="5" borderId="1" applyAlignment="1" pivotButton="0" quotePrefix="0" xfId="0">
      <alignment horizontal="left" vertical="center"/>
    </xf>
    <xf numFmtId="49" fontId="17" fillId="2" borderId="0" applyAlignment="1" pivotButton="0" quotePrefix="0" xfId="0">
      <alignment horizontal="left" vertical="center"/>
    </xf>
    <xf numFmtId="164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164" fontId="12" fillId="4" borderId="1" applyAlignment="1" pivotButton="0" quotePrefix="0" xfId="0">
      <alignment horizontal="left" vertical="center"/>
    </xf>
    <xf numFmtId="0" fontId="4" fillId="5" borderId="0" pivotButton="0" quotePrefix="0" xfId="0"/>
    <xf numFmtId="0" fontId="0" fillId="5" borderId="0" pivotButton="0" quotePrefix="0" xfId="0"/>
    <xf numFmtId="164" fontId="12" fillId="5" borderId="1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166" fontId="10" fillId="5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/>
    </xf>
    <xf numFmtId="167" fontId="12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9" fontId="12" fillId="4" borderId="1" applyAlignment="1" pivotButton="0" quotePrefix="0" xfId="0">
      <alignment horizontal="left" vertical="center"/>
    </xf>
    <xf numFmtId="0" fontId="0" fillId="3" borderId="0" pivotButton="0" quotePrefix="0" xfId="0"/>
    <xf numFmtId="0" fontId="21" fillId="3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7" borderId="0" pivotButton="0" quotePrefix="0" xfId="0"/>
    <xf numFmtId="0" fontId="24" fillId="9" borderId="0" applyAlignment="1" pivotButton="0" quotePrefix="0" xfId="0">
      <alignment horizontal="right" vertical="center"/>
    </xf>
    <xf numFmtId="0" fontId="25" fillId="7" borderId="4" applyAlignment="1" pivotButton="0" quotePrefix="0" xfId="0">
      <alignment horizontal="left" vertical="center"/>
    </xf>
    <xf numFmtId="0" fontId="26" fillId="8" borderId="0" applyAlignment="1" pivotButton="0" quotePrefix="0" xfId="0">
      <alignment horizontal="center" vertical="center"/>
    </xf>
    <xf numFmtId="0" fontId="25" fillId="7" borderId="5" applyAlignment="1" pivotButton="0" quotePrefix="0" xfId="0">
      <alignment horizontal="left" vertical="center"/>
    </xf>
    <xf numFmtId="0" fontId="0" fillId="0" borderId="6" pivotButton="0" quotePrefix="0" xfId="0"/>
    <xf numFmtId="0" fontId="19" fillId="3" borderId="0" applyAlignment="1" pivotButton="0" quotePrefix="0" xfId="0">
      <alignment horizontal="center" vertical="center"/>
    </xf>
    <xf numFmtId="0" fontId="25" fillId="10" borderId="7" applyAlignment="1" pivotButton="0" quotePrefix="0" xfId="0">
      <alignment horizontal="center" vertical="center"/>
    </xf>
    <xf numFmtId="164" fontId="25" fillId="10" borderId="7" applyAlignment="1" pivotButton="0" quotePrefix="0" xfId="0">
      <alignment horizontal="center" vertical="center"/>
    </xf>
    <xf numFmtId="0" fontId="25" fillId="7" borderId="7" applyAlignment="1" pivotButton="0" quotePrefix="0" xfId="0">
      <alignment horizontal="center" vertical="center"/>
    </xf>
    <xf numFmtId="164" fontId="25" fillId="7" borderId="7" applyAlignment="1" pivotButton="0" quotePrefix="0" xfId="0">
      <alignment horizontal="center" vertical="center"/>
    </xf>
    <xf numFmtId="0" fontId="27" fillId="7" borderId="0" applyAlignment="1" pivotButton="0" quotePrefix="0" xfId="0">
      <alignment horizontal="right" vertical="center"/>
    </xf>
    <xf numFmtId="164" fontId="25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right" vertical="center"/>
    </xf>
    <xf numFmtId="164" fontId="29" fillId="8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000"/>
    <outlinePr summaryBelow="1" summaryRight="1"/>
    <pageSetUpPr/>
  </sheetPr>
  <dimension ref="A1:I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" customWidth="1" min="1" max="1"/>
    <col width="22" customWidth="1" min="2" max="2"/>
    <col width="1" customWidth="1" min="3" max="3"/>
    <col width="22" customWidth="1" min="4" max="4"/>
    <col width="1" customWidth="1" min="5" max="5"/>
    <col width="22" customWidth="1" min="6" max="6"/>
    <col width="1" customWidth="1" min="7" max="7"/>
    <col width="22" customWidth="1" min="8" max="8"/>
    <col width="1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4" customHeight="1">
      <c r="A2" s="2" t="inlineStr">
        <is>
          <t xml:space="preserve">    ◼  PIXEL PATCHER — 2026 BUSINESS DASHBOARD</t>
        </is>
      </c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8" customHeight="1">
      <c r="A5" s="1" t="n"/>
      <c r="B5" s="3" t="inlineStr">
        <is>
          <t>💰  TOTAL INCOME</t>
        </is>
      </c>
      <c r="C5" s="1" t="n"/>
      <c r="D5" s="3" t="inlineStr">
        <is>
          <t>📉  TOTAL EXPENSES</t>
        </is>
      </c>
      <c r="E5" s="1" t="n"/>
      <c r="F5" s="3" t="inlineStr">
        <is>
          <t>📈  NET PROFIT</t>
        </is>
      </c>
      <c r="G5" s="1" t="n"/>
      <c r="H5" s="3" t="inlineStr">
        <is>
          <t>🔧  JOBS COMPLETED</t>
        </is>
      </c>
      <c r="I5" s="1" t="n"/>
    </row>
    <row r="6" ht="32" customHeight="1">
      <c r="A6" s="1" t="n"/>
      <c r="B6" s="4">
        <f>SUMIF(Income!B:B,"&lt;&gt;Owner Contribution",Income!E:E)</f>
        <v/>
      </c>
      <c r="C6" s="1" t="n"/>
      <c r="D6" s="5">
        <f>SUM(Expenses!E:E)</f>
        <v/>
      </c>
      <c r="E6" s="1" t="n"/>
      <c r="F6" s="6">
        <f>SUMIF(Income!B:B,"&lt;&gt;Owner Contribution",Income!E:E)-SUM(Expenses!E:E)</f>
        <v/>
      </c>
      <c r="G6" s="1" t="n"/>
      <c r="H6" s="7">
        <f>COUNTA(Income!A2:A1000)-COUNTIF(Income!B2:B1000,"Owner Contribution")</f>
        <v/>
      </c>
      <c r="I6" s="1" t="n"/>
    </row>
    <row r="7" ht="14" customHeight="1">
      <c r="A7" s="1" t="n"/>
      <c r="B7" s="8" t="inlineStr">
        <is>
          <t>Year to Date</t>
        </is>
      </c>
      <c r="C7" s="1" t="n"/>
      <c r="D7" s="8" t="inlineStr">
        <is>
          <t>Year to Date</t>
        </is>
      </c>
      <c r="E7" s="1" t="n"/>
      <c r="F7" s="8" t="inlineStr">
        <is>
          <t>Year to Date</t>
        </is>
      </c>
      <c r="G7" s="1" t="n"/>
      <c r="H7" s="8" t="inlineStr">
        <is>
          <t>Year to Date</t>
        </is>
      </c>
      <c r="I7" s="1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 ht="18" customHeight="1">
      <c r="A9" s="1" t="n"/>
      <c r="B9" s="3" t="inlineStr">
        <is>
          <t>📊  AVG JOB VALUE</t>
        </is>
      </c>
      <c r="C9" s="1" t="n"/>
      <c r="D9" s="3" t="inlineStr">
        <is>
          <t>🚗  MILES DRIVEN</t>
        </is>
      </c>
      <c r="E9" s="1" t="n"/>
      <c r="F9" s="3" t="inlineStr">
        <is>
          <t>💸  MILEAGE DEDUCTION</t>
        </is>
      </c>
      <c r="G9" s="1" t="n"/>
      <c r="H9" s="3" t="inlineStr">
        <is>
          <t>💼  TAX RESERVE (25%)</t>
        </is>
      </c>
      <c r="I9" s="1" t="n"/>
    </row>
    <row r="10" ht="32" customHeight="1">
      <c r="A10" s="1" t="n"/>
      <c r="B10" s="9">
        <f>IFERROR((SUMIF(Income!B:B,"&lt;&gt;Owner Contribution",Income!E:E))/(COUNTA(Income!A2:A1000)-COUNTIF(Income!B2:B1000,"Owner Contribution")),0)</f>
        <v/>
      </c>
      <c r="C10" s="1" t="n"/>
      <c r="D10" s="10">
        <f>SUM(Mileage!E3:E1000)</f>
        <v/>
      </c>
      <c r="E10" s="1" t="n"/>
      <c r="F10" s="11">
        <f>SUM(Mileage!F3:F1000)</f>
        <v/>
      </c>
      <c r="G10" s="1" t="n"/>
      <c r="H10" s="11">
        <f>MAX(0,(SUMIF(Income!B:B,"&lt;&gt;Owner Contribution",Income!E:E)-SUM(Expenses!E:E))*0.25)</f>
        <v/>
      </c>
      <c r="I10" s="1" t="n"/>
    </row>
    <row r="11" ht="14" customHeight="1">
      <c r="A11" s="1" t="n"/>
      <c r="B11" s="8" t="inlineStr">
        <is>
          <t>Per Completed Job</t>
        </is>
      </c>
      <c r="C11" s="1" t="n"/>
      <c r="D11" s="8" t="inlineStr">
        <is>
          <t>Total YTD</t>
        </is>
      </c>
      <c r="E11" s="1" t="n"/>
      <c r="F11" s="8" t="inlineStr">
        <is>
          <t>IRS $0.70/mile</t>
        </is>
      </c>
      <c r="G11" s="1" t="n"/>
      <c r="H11" s="8" t="inlineStr">
        <is>
          <t>Set This Aside</t>
        </is>
      </c>
      <c r="I11" s="1" t="n"/>
    </row>
    <row r="12" ht="6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 ht="24" customHeight="1">
      <c r="A13" s="12" t="inlineStr">
        <is>
          <t xml:space="preserve">  📅  MONTHLY BREAKDOWN</t>
        </is>
      </c>
    </row>
    <row r="14" ht="18" customHeight="1">
      <c r="A14" s="1" t="n"/>
      <c r="B14" s="13" t="inlineStr">
        <is>
          <t>Month</t>
        </is>
      </c>
      <c r="C14" s="1" t="n"/>
      <c r="D14" s="13" t="inlineStr">
        <is>
          <t>Income</t>
        </is>
      </c>
      <c r="E14" s="1" t="n"/>
      <c r="F14" s="13" t="inlineStr">
        <is>
          <t>Expenses</t>
        </is>
      </c>
      <c r="G14" s="1" t="n"/>
      <c r="H14" s="13" t="inlineStr">
        <is>
          <t>Net</t>
        </is>
      </c>
      <c r="I14" s="1" t="n"/>
    </row>
    <row r="15" ht="17" customHeight="1">
      <c r="A15" s="1" t="n"/>
      <c r="B15" s="14" t="inlineStr">
        <is>
          <t>Jan</t>
        </is>
      </c>
      <c r="C15" s="1" t="n"/>
      <c r="D15" s="15">
        <f>SUMIFS(Income!E:E,Income!A:A,"&gt;="&amp;DATE(2026,1,1),Income!A:A,"&lt;"&amp;DATE(2026,2,1),Income!B:B,"&lt;&gt;Owner Contribution")</f>
        <v/>
      </c>
      <c r="E15" s="1" t="n"/>
      <c r="F15" s="16">
        <f>SUMIFS(Expenses!E:E,Expenses!A:A,"&gt;="&amp;DATE(2026,1,1),Expenses!A:A,"&lt;"&amp;DATE(2026,2,1))</f>
        <v/>
      </c>
      <c r="G15" s="1" t="n"/>
      <c r="H15" s="17">
        <f>D15-F15</f>
        <v/>
      </c>
      <c r="I15" s="1" t="n"/>
    </row>
    <row r="16" ht="17" customHeight="1">
      <c r="A16" s="1" t="n"/>
      <c r="B16" s="18" t="inlineStr">
        <is>
          <t>Feb</t>
        </is>
      </c>
      <c r="C16" s="1" t="n"/>
      <c r="D16" s="19">
        <f>SUMIFS(Income!E:E,Income!A:A,"&gt;="&amp;DATE(2026,2,1),Income!A:A,"&lt;"&amp;DATE(2026,3,1),Income!B:B,"&lt;&gt;Owner Contribution")</f>
        <v/>
      </c>
      <c r="E16" s="1" t="n"/>
      <c r="F16" s="20">
        <f>SUMIFS(Expenses!E:E,Expenses!A:A,"&gt;="&amp;DATE(2026,2,1),Expenses!A:A,"&lt;"&amp;DATE(2026,3,1))</f>
        <v/>
      </c>
      <c r="G16" s="1" t="n"/>
      <c r="H16" s="21">
        <f>D16-F16</f>
        <v/>
      </c>
      <c r="I16" s="1" t="n"/>
    </row>
    <row r="17" ht="17" customHeight="1">
      <c r="A17" s="1" t="n"/>
      <c r="B17" s="14" t="inlineStr">
        <is>
          <t>Mar</t>
        </is>
      </c>
      <c r="C17" s="1" t="n"/>
      <c r="D17" s="15">
        <f>SUMIFS(Income!E:E,Income!A:A,"&gt;="&amp;DATE(2026,3,1),Income!A:A,"&lt;"&amp;DATE(2026,4,1),Income!B:B,"&lt;&gt;Owner Contribution")</f>
        <v/>
      </c>
      <c r="E17" s="1" t="n"/>
      <c r="F17" s="16">
        <f>SUMIFS(Expenses!E:E,Expenses!A:A,"&gt;="&amp;DATE(2026,3,1),Expenses!A:A,"&lt;"&amp;DATE(2026,4,1))</f>
        <v/>
      </c>
      <c r="G17" s="1" t="n"/>
      <c r="H17" s="17">
        <f>D17-F17</f>
        <v/>
      </c>
      <c r="I17" s="1" t="n"/>
    </row>
    <row r="18" ht="17" customHeight="1">
      <c r="A18" s="1" t="n"/>
      <c r="B18" s="18" t="inlineStr">
        <is>
          <t>Apr</t>
        </is>
      </c>
      <c r="C18" s="1" t="n"/>
      <c r="D18" s="19">
        <f>SUMIFS(Income!E:E,Income!A:A,"&gt;="&amp;DATE(2026,4,1),Income!A:A,"&lt;"&amp;DATE(2026,5,1),Income!B:B,"&lt;&gt;Owner Contribution")</f>
        <v/>
      </c>
      <c r="E18" s="1" t="n"/>
      <c r="F18" s="20">
        <f>SUMIFS(Expenses!E:E,Expenses!A:A,"&gt;="&amp;DATE(2026,4,1),Expenses!A:A,"&lt;"&amp;DATE(2026,5,1))</f>
        <v/>
      </c>
      <c r="G18" s="1" t="n"/>
      <c r="H18" s="21">
        <f>D18-F18</f>
        <v/>
      </c>
      <c r="I18" s="1" t="n"/>
    </row>
    <row r="19" ht="17" customHeight="1">
      <c r="A19" s="1" t="n"/>
      <c r="B19" s="14" t="inlineStr">
        <is>
          <t>May</t>
        </is>
      </c>
      <c r="C19" s="1" t="n"/>
      <c r="D19" s="15">
        <f>SUMIFS(Income!E:E,Income!A:A,"&gt;="&amp;DATE(2026,5,1),Income!A:A,"&lt;"&amp;DATE(2026,6,1),Income!B:B,"&lt;&gt;Owner Contribution")</f>
        <v/>
      </c>
      <c r="E19" s="1" t="n"/>
      <c r="F19" s="16">
        <f>SUMIFS(Expenses!E:E,Expenses!A:A,"&gt;="&amp;DATE(2026,5,1),Expenses!A:A,"&lt;"&amp;DATE(2026,6,1))</f>
        <v/>
      </c>
      <c r="G19" s="1" t="n"/>
      <c r="H19" s="17">
        <f>D19-F19</f>
        <v/>
      </c>
      <c r="I19" s="1" t="n"/>
    </row>
    <row r="20" ht="17" customHeight="1">
      <c r="A20" s="1" t="n"/>
      <c r="B20" s="18" t="inlineStr">
        <is>
          <t>Jun</t>
        </is>
      </c>
      <c r="C20" s="1" t="n"/>
      <c r="D20" s="19">
        <f>SUMIFS(Income!E:E,Income!A:A,"&gt;="&amp;DATE(2026,6,1),Income!A:A,"&lt;"&amp;DATE(2026,7,1),Income!B:B,"&lt;&gt;Owner Contribution")</f>
        <v/>
      </c>
      <c r="E20" s="1" t="n"/>
      <c r="F20" s="20">
        <f>SUMIFS(Expenses!E:E,Expenses!A:A,"&gt;="&amp;DATE(2026,6,1),Expenses!A:A,"&lt;"&amp;DATE(2026,7,1))</f>
        <v/>
      </c>
      <c r="G20" s="1" t="n"/>
      <c r="H20" s="21">
        <f>D20-F20</f>
        <v/>
      </c>
      <c r="I20" s="1" t="n"/>
    </row>
    <row r="21" ht="17" customHeight="1">
      <c r="A21" s="1" t="n"/>
      <c r="B21" s="14" t="inlineStr">
        <is>
          <t>Jul</t>
        </is>
      </c>
      <c r="C21" s="1" t="n"/>
      <c r="D21" s="15">
        <f>SUMIFS(Income!E:E,Income!A:A,"&gt;="&amp;DATE(2026,7,1),Income!A:A,"&lt;"&amp;DATE(2026,8,1),Income!B:B,"&lt;&gt;Owner Contribution")</f>
        <v/>
      </c>
      <c r="E21" s="1" t="n"/>
      <c r="F21" s="16">
        <f>SUMIFS(Expenses!E:E,Expenses!A:A,"&gt;="&amp;DATE(2026,7,1),Expenses!A:A,"&lt;"&amp;DATE(2026,8,1))</f>
        <v/>
      </c>
      <c r="G21" s="1" t="n"/>
      <c r="H21" s="17">
        <f>D21-F21</f>
        <v/>
      </c>
      <c r="I21" s="1" t="n"/>
    </row>
    <row r="22" ht="17" customHeight="1">
      <c r="A22" s="1" t="n"/>
      <c r="B22" s="18" t="inlineStr">
        <is>
          <t>Aug</t>
        </is>
      </c>
      <c r="C22" s="1" t="n"/>
      <c r="D22" s="19">
        <f>SUMIFS(Income!E:E,Income!A:A,"&gt;="&amp;DATE(2026,8,1),Income!A:A,"&lt;"&amp;DATE(2026,9,1),Income!B:B,"&lt;&gt;Owner Contribution")</f>
        <v/>
      </c>
      <c r="E22" s="1" t="n"/>
      <c r="F22" s="20">
        <f>SUMIFS(Expenses!E:E,Expenses!A:A,"&gt;="&amp;DATE(2026,8,1),Expenses!A:A,"&lt;"&amp;DATE(2026,9,1))</f>
        <v/>
      </c>
      <c r="G22" s="1" t="n"/>
      <c r="H22" s="21">
        <f>D22-F22</f>
        <v/>
      </c>
      <c r="I22" s="1" t="n"/>
    </row>
    <row r="23" ht="17" customHeight="1">
      <c r="A23" s="1" t="n"/>
      <c r="B23" s="14" t="inlineStr">
        <is>
          <t>Sep</t>
        </is>
      </c>
      <c r="C23" s="1" t="n"/>
      <c r="D23" s="15">
        <f>SUMIFS(Income!E:E,Income!A:A,"&gt;="&amp;DATE(2026,9,1),Income!A:A,"&lt;"&amp;DATE(2026,10,1),Income!B:B,"&lt;&gt;Owner Contribution")</f>
        <v/>
      </c>
      <c r="E23" s="1" t="n"/>
      <c r="F23" s="16">
        <f>SUMIFS(Expenses!E:E,Expenses!A:A,"&gt;="&amp;DATE(2026,9,1),Expenses!A:A,"&lt;"&amp;DATE(2026,10,1))</f>
        <v/>
      </c>
      <c r="G23" s="1" t="n"/>
      <c r="H23" s="17">
        <f>D23-F23</f>
        <v/>
      </c>
      <c r="I23" s="1" t="n"/>
    </row>
    <row r="24" ht="17" customHeight="1">
      <c r="A24" s="1" t="n"/>
      <c r="B24" s="18" t="inlineStr">
        <is>
          <t>Oct</t>
        </is>
      </c>
      <c r="C24" s="1" t="n"/>
      <c r="D24" s="19">
        <f>SUMIFS(Income!E:E,Income!A:A,"&gt;="&amp;DATE(2026,10,1),Income!A:A,"&lt;"&amp;DATE(2026,11,1),Income!B:B,"&lt;&gt;Owner Contribution")</f>
        <v/>
      </c>
      <c r="E24" s="1" t="n"/>
      <c r="F24" s="20">
        <f>SUMIFS(Expenses!E:E,Expenses!A:A,"&gt;="&amp;DATE(2026,10,1),Expenses!A:A,"&lt;"&amp;DATE(2026,11,1))</f>
        <v/>
      </c>
      <c r="G24" s="1" t="n"/>
      <c r="H24" s="21">
        <f>D24-F24</f>
        <v/>
      </c>
      <c r="I24" s="1" t="n"/>
    </row>
    <row r="25" ht="17" customHeight="1">
      <c r="A25" s="1" t="n"/>
      <c r="B25" s="14" t="inlineStr">
        <is>
          <t>Nov</t>
        </is>
      </c>
      <c r="C25" s="1" t="n"/>
      <c r="D25" s="15">
        <f>SUMIFS(Income!E:E,Income!A:A,"&gt;="&amp;DATE(2026,11,1),Income!A:A,"&lt;"&amp;DATE(2026,12,1),Income!B:B,"&lt;&gt;Owner Contribution")</f>
        <v/>
      </c>
      <c r="E25" s="1" t="n"/>
      <c r="F25" s="16">
        <f>SUMIFS(Expenses!E:E,Expenses!A:A,"&gt;="&amp;DATE(2026,11,1),Expenses!A:A,"&lt;"&amp;DATE(2026,12,1))</f>
        <v/>
      </c>
      <c r="G25" s="1" t="n"/>
      <c r="H25" s="17">
        <f>D25-F25</f>
        <v/>
      </c>
      <c r="I25" s="1" t="n"/>
    </row>
    <row r="26" ht="17" customHeight="1">
      <c r="A26" s="1" t="n"/>
      <c r="B26" s="18" t="inlineStr">
        <is>
          <t>Dec</t>
        </is>
      </c>
      <c r="C26" s="1" t="n"/>
      <c r="D26" s="19">
        <f>SUMIFS(Income!E:E,Income!A:A,"&gt;="&amp;DATE(2026,12,1),Income!A:A,"&lt;"&amp;DATE(2027,1,1),Income!B:B,"&lt;&gt;Owner Contribution")</f>
        <v/>
      </c>
      <c r="E26" s="1" t="n"/>
      <c r="F26" s="20">
        <f>SUMIFS(Expenses!E:E,Expenses!A:A,"&gt;="&amp;DATE(2026,12,1),Expenses!A:A,"&lt;"&amp;DATE(2027,1,1))</f>
        <v/>
      </c>
      <c r="G26" s="1" t="n"/>
      <c r="H26" s="21">
        <f>D26-F26</f>
        <v/>
      </c>
      <c r="I26" s="1" t="n"/>
    </row>
    <row r="27" ht="20" customHeight="1">
      <c r="A27" s="1" t="n"/>
      <c r="B27" s="22" t="inlineStr">
        <is>
          <t>TOTAL</t>
        </is>
      </c>
      <c r="C27" s="1" t="n"/>
      <c r="D27" s="23">
        <f>SUM(D15:D26)</f>
        <v/>
      </c>
      <c r="E27" s="1" t="n"/>
      <c r="F27" s="24">
        <f>SUM(F15:F26)</f>
        <v/>
      </c>
      <c r="G27" s="1" t="n"/>
      <c r="H27" s="25">
        <f>D27-F27</f>
        <v/>
      </c>
      <c r="I27" s="1" t="n"/>
    </row>
    <row r="28" ht="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24" customHeight="1">
      <c r="A29" s="12" t="inlineStr">
        <is>
          <t xml:space="preserve">  📆  QUARTERLY SUMMARY</t>
        </is>
      </c>
    </row>
    <row r="30" ht="18" customHeight="1">
      <c r="A30" s="1" t="n"/>
      <c r="B30" s="13" t="inlineStr">
        <is>
          <t>Quarter</t>
        </is>
      </c>
      <c r="C30" s="1" t="n"/>
      <c r="D30" s="13" t="inlineStr">
        <is>
          <t>Income</t>
        </is>
      </c>
      <c r="E30" s="1" t="n"/>
      <c r="F30" s="13" t="inlineStr">
        <is>
          <t>Expenses</t>
        </is>
      </c>
      <c r="G30" s="1" t="n"/>
      <c r="H30" s="13" t="inlineStr">
        <is>
          <t>Net</t>
        </is>
      </c>
      <c r="I30" s="1" t="n"/>
    </row>
    <row r="31" ht="18" customHeight="1">
      <c r="A31" s="1" t="n"/>
      <c r="B31" s="14" t="inlineStr">
        <is>
          <t>Q1 (Jan–Mar)</t>
        </is>
      </c>
      <c r="C31" s="1" t="n"/>
      <c r="D31" s="15">
        <f>SUM(D15:D17)</f>
        <v/>
      </c>
      <c r="E31" s="1" t="n"/>
      <c r="F31" s="16">
        <f>SUM(F15:F17)</f>
        <v/>
      </c>
      <c r="G31" s="1" t="n"/>
      <c r="H31" s="17">
        <f>D31-F31</f>
        <v/>
      </c>
      <c r="I31" s="1" t="n"/>
    </row>
    <row r="32" ht="18" customHeight="1">
      <c r="A32" s="1" t="n"/>
      <c r="B32" s="18" t="inlineStr">
        <is>
          <t>Q2 (Apr–Jun)</t>
        </is>
      </c>
      <c r="C32" s="1" t="n"/>
      <c r="D32" s="19">
        <f>SUM(D18:D20)</f>
        <v/>
      </c>
      <c r="E32" s="1" t="n"/>
      <c r="F32" s="20">
        <f>SUM(F18:F20)</f>
        <v/>
      </c>
      <c r="G32" s="1" t="n"/>
      <c r="H32" s="21">
        <f>D32-F32</f>
        <v/>
      </c>
      <c r="I32" s="1" t="n"/>
    </row>
    <row r="33" ht="18" customHeight="1">
      <c r="A33" s="1" t="n"/>
      <c r="B33" s="14" t="inlineStr">
        <is>
          <t>Q3 (Jul–Sep)</t>
        </is>
      </c>
      <c r="C33" s="1" t="n"/>
      <c r="D33" s="15">
        <f>SUM(D21:D23)</f>
        <v/>
      </c>
      <c r="E33" s="1" t="n"/>
      <c r="F33" s="16">
        <f>SUM(F21:F23)</f>
        <v/>
      </c>
      <c r="G33" s="1" t="n"/>
      <c r="H33" s="17">
        <f>D33-F33</f>
        <v/>
      </c>
      <c r="I33" s="1" t="n"/>
    </row>
    <row r="34" ht="18" customHeight="1">
      <c r="A34" s="1" t="n"/>
      <c r="B34" s="18" t="inlineStr">
        <is>
          <t>Q4 (Oct–Dec)</t>
        </is>
      </c>
      <c r="C34" s="1" t="n"/>
      <c r="D34" s="19">
        <f>SUM(D24:D26)</f>
        <v/>
      </c>
      <c r="E34" s="1" t="n"/>
      <c r="F34" s="20">
        <f>SUM(F24:F26)</f>
        <v/>
      </c>
      <c r="G34" s="1" t="n"/>
      <c r="H34" s="21">
        <f>D34-F34</f>
        <v/>
      </c>
      <c r="I34" s="1" t="n"/>
    </row>
    <row r="35" ht="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24" customHeight="1">
      <c r="A36" s="12" t="inlineStr">
        <is>
          <t xml:space="preserve">  📂  EXPENSES BY CATEGORY</t>
        </is>
      </c>
    </row>
    <row r="37" ht="18" customHeight="1">
      <c r="A37" s="1" t="n"/>
      <c r="B37" s="13" t="inlineStr">
        <is>
          <t>Category</t>
        </is>
      </c>
      <c r="C37" s="1" t="n"/>
      <c r="D37" s="13" t="inlineStr">
        <is>
          <t>Amount</t>
        </is>
      </c>
      <c r="E37" s="1" t="n"/>
      <c r="F37" s="1" t="n"/>
      <c r="G37" s="1" t="n"/>
      <c r="H37" s="1" t="n"/>
      <c r="I37" s="1" t="n"/>
    </row>
    <row r="38" ht="17" customHeight="1">
      <c r="A38" s="1" t="n"/>
      <c r="B38" s="26" t="inlineStr">
        <is>
          <t>Insurance</t>
        </is>
      </c>
      <c r="C38" s="1" t="n"/>
      <c r="D38" s="16">
        <f>SUMIF(Expenses!B:B,"Insurance",Expenses!E:E)</f>
        <v/>
      </c>
      <c r="E38" s="1" t="n"/>
      <c r="F38" s="1" t="n"/>
      <c r="G38" s="1" t="n"/>
      <c r="H38" s="1" t="n"/>
      <c r="I38" s="1" t="n"/>
    </row>
    <row r="39" ht="17" customHeight="1">
      <c r="A39" s="1" t="n"/>
      <c r="B39" s="27" t="inlineStr">
        <is>
          <t>Licenses &amp; Permits</t>
        </is>
      </c>
      <c r="C39" s="1" t="n"/>
      <c r="D39" s="20">
        <f>SUMIF(Expenses!B:B,"Licenses &amp; Permits",Expenses!E:E)</f>
        <v/>
      </c>
      <c r="E39" s="1" t="n"/>
      <c r="F39" s="1" t="n"/>
      <c r="G39" s="1" t="n"/>
      <c r="H39" s="1" t="n"/>
      <c r="I39" s="1" t="n"/>
    </row>
    <row r="40" ht="17" customHeight="1">
      <c r="A40" s="1" t="n"/>
      <c r="B40" s="26" t="inlineStr">
        <is>
          <t>Marketing</t>
        </is>
      </c>
      <c r="C40" s="1" t="n"/>
      <c r="D40" s="16">
        <f>SUMIF(Expenses!B:B,"Marketing",Expenses!E:E)</f>
        <v/>
      </c>
      <c r="E40" s="1" t="n"/>
      <c r="F40" s="1" t="n"/>
      <c r="G40" s="1" t="n"/>
      <c r="H40" s="1" t="n"/>
      <c r="I40" s="1" t="n"/>
    </row>
    <row r="41" ht="17" customHeight="1">
      <c r="A41" s="1" t="n"/>
      <c r="B41" s="27" t="inlineStr">
        <is>
          <t>Tools &amp; Equipment</t>
        </is>
      </c>
      <c r="C41" s="1" t="n"/>
      <c r="D41" s="20">
        <f>SUMIF(Expenses!B:B,"Tools &amp; Equipment",Expenses!E:E)</f>
        <v/>
      </c>
      <c r="E41" s="1" t="n"/>
      <c r="F41" s="1" t="n"/>
      <c r="G41" s="1" t="n"/>
      <c r="H41" s="1" t="n"/>
      <c r="I41" s="1" t="n"/>
    </row>
    <row r="42" ht="17" customHeight="1">
      <c r="A42" s="1" t="n"/>
      <c r="B42" s="26" t="inlineStr">
        <is>
          <t>Software</t>
        </is>
      </c>
      <c r="C42" s="1" t="n"/>
      <c r="D42" s="16">
        <f>SUMIF(Expenses!B:B,"Software",Expenses!E:E)</f>
        <v/>
      </c>
      <c r="E42" s="1" t="n"/>
      <c r="F42" s="1" t="n"/>
      <c r="G42" s="1" t="n"/>
      <c r="H42" s="1" t="n"/>
      <c r="I42" s="1" t="n"/>
    </row>
    <row r="43" ht="17" customHeight="1">
      <c r="A43" s="1" t="n"/>
      <c r="B43" s="27" t="inlineStr">
        <is>
          <t>Vehicle/Mileage</t>
        </is>
      </c>
      <c r="C43" s="1" t="n"/>
      <c r="D43" s="20">
        <f>SUMIF(Expenses!B:B,"Vehicle/Mileage",Expenses!E:E)</f>
        <v/>
      </c>
      <c r="E43" s="1" t="n"/>
      <c r="F43" s="1" t="n"/>
      <c r="G43" s="1" t="n"/>
      <c r="H43" s="1" t="n"/>
      <c r="I43" s="1" t="n"/>
    </row>
    <row r="44" ht="17" customHeight="1">
      <c r="A44" s="1" t="n"/>
      <c r="B44" s="26" t="inlineStr">
        <is>
          <t>Parts (resale)</t>
        </is>
      </c>
      <c r="C44" s="1" t="n"/>
      <c r="D44" s="16">
        <f>SUMIF(Expenses!B:B,"Parts (resale)",Expenses!E:E)</f>
        <v/>
      </c>
      <c r="E44" s="1" t="n"/>
      <c r="F44" s="1" t="n"/>
      <c r="G44" s="1" t="n"/>
      <c r="H44" s="1" t="n"/>
      <c r="I44" s="1" t="n"/>
    </row>
    <row r="45" ht="17" customHeight="1">
      <c r="A45" s="1" t="n"/>
      <c r="B45" s="27" t="inlineStr">
        <is>
          <t>Misc</t>
        </is>
      </c>
      <c r="C45" s="1" t="n"/>
      <c r="D45" s="20">
        <f>SUMIF(Expenses!B:B,"Misc",Expenses!E:E)</f>
        <v/>
      </c>
      <c r="E45" s="1" t="n"/>
      <c r="F45" s="1" t="n"/>
      <c r="G45" s="1" t="n"/>
      <c r="H45" s="1" t="n"/>
      <c r="I45" s="1" t="n"/>
    </row>
    <row r="46" ht="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7" customHeight="1">
      <c r="A47" s="1" t="n"/>
      <c r="B47" s="28" t="inlineStr">
        <is>
          <t>Owner Contributions</t>
        </is>
      </c>
      <c r="C47" s="1" t="n"/>
      <c r="D47" s="29">
        <f>SUMIF(Income!B:B,"Owner Contribution",Income!E:E)</f>
        <v/>
      </c>
      <c r="E47" s="1" t="n"/>
      <c r="F47" s="1" t="n"/>
      <c r="G47" s="1" t="n"/>
      <c r="H47" s="1" t="n"/>
      <c r="I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mergeCells count="4">
    <mergeCell ref="A29:I29"/>
    <mergeCell ref="A36:I36"/>
    <mergeCell ref="A13:I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G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32" customWidth="1" min="4" max="4"/>
    <col width="14" customWidth="1" min="5" max="5"/>
    <col width="18" customWidth="1" min="6" max="6"/>
    <col width="30" customWidth="1" min="7" max="7"/>
  </cols>
  <sheetData>
    <row r="1" ht="22" customHeight="1">
      <c r="A1" s="30" t="inlineStr">
        <is>
          <t xml:space="preserve">  💰  INCOME LOG</t>
        </is>
      </c>
    </row>
    <row r="2" ht="18" customHeight="1">
      <c r="A2" s="31" t="inlineStr">
        <is>
          <t>Date</t>
        </is>
      </c>
      <c r="B2" s="31" t="inlineStr">
        <is>
          <t>Type</t>
        </is>
      </c>
      <c r="C2" s="31" t="inlineStr">
        <is>
          <t>Category</t>
        </is>
      </c>
      <c r="D2" s="31" t="inlineStr">
        <is>
          <t>Description</t>
        </is>
      </c>
      <c r="E2" s="31" t="inlineStr">
        <is>
          <t>Amount</t>
        </is>
      </c>
      <c r="F2" s="31" t="inlineStr">
        <is>
          <t>Payment Method</t>
        </is>
      </c>
      <c r="G2" s="31" t="inlineStr">
        <is>
          <t>Notes</t>
        </is>
      </c>
    </row>
    <row r="3" ht="17" customHeight="1">
      <c r="A3" s="26" t="inlineStr">
        <is>
          <t>2026-02-26</t>
        </is>
      </c>
      <c r="B3" s="26" t="inlineStr">
        <is>
          <t>Owner Contribution</t>
        </is>
      </c>
      <c r="C3" s="26" t="inlineStr">
        <is>
          <t>Capital</t>
        </is>
      </c>
      <c r="D3" s="26" t="inlineStr">
        <is>
          <t>Initial business funding</t>
        </is>
      </c>
      <c r="E3" s="32" t="n">
        <v>200</v>
      </c>
      <c r="F3" s="26" t="inlineStr">
        <is>
          <t>Transfer</t>
        </is>
      </c>
      <c r="G3" s="26" t="inlineStr">
        <is>
          <t>Seed money from personal funds</t>
        </is>
      </c>
    </row>
    <row r="4" ht="17" customHeight="1">
      <c r="A4" s="33" t="inlineStr">
        <is>
          <t>← Add rows below</t>
        </is>
      </c>
      <c r="B4" s="34" t="n"/>
      <c r="C4" s="34" t="n"/>
      <c r="D4" s="34" t="n"/>
      <c r="E4" s="34" t="n"/>
      <c r="F4" s="34" t="n"/>
      <c r="G4" s="3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22" customWidth="1" min="4" max="4"/>
    <col width="12" customWidth="1" min="5" max="5"/>
    <col width="18" customWidth="1" min="6" max="6"/>
    <col width="32" customWidth="1" min="7" max="7"/>
  </cols>
  <sheetData>
    <row r="1" ht="22" customHeight="1">
      <c r="A1" s="30" t="inlineStr">
        <is>
          <t xml:space="preserve">  📉  EXPENSES LOG</t>
        </is>
      </c>
    </row>
    <row r="2" ht="18" customHeight="1">
      <c r="A2" s="31" t="inlineStr">
        <is>
          <t>Date</t>
        </is>
      </c>
      <c r="B2" s="31" t="inlineStr">
        <is>
          <t>Category</t>
        </is>
      </c>
      <c r="C2" s="31" t="inlineStr">
        <is>
          <t>Description</t>
        </is>
      </c>
      <c r="D2" s="31" t="inlineStr">
        <is>
          <t>Vendor</t>
        </is>
      </c>
      <c r="E2" s="31" t="inlineStr">
        <is>
          <t>Amount</t>
        </is>
      </c>
      <c r="F2" s="31" t="inlineStr">
        <is>
          <t>Payment Method</t>
        </is>
      </c>
      <c r="G2" s="31" t="inlineStr">
        <is>
          <t>Notes</t>
        </is>
      </c>
    </row>
    <row r="3" ht="17" customHeight="1">
      <c r="A3" s="26" t="inlineStr">
        <is>
          <t>2026-02-26</t>
        </is>
      </c>
      <c r="B3" s="26" t="inlineStr">
        <is>
          <t>Licenses &amp; Permits</t>
        </is>
      </c>
      <c r="C3" s="26" t="inlineStr">
        <is>
          <t>City of Roanoke business license</t>
        </is>
      </c>
      <c r="D3" s="26" t="inlineStr">
        <is>
          <t>City of Roanoke</t>
        </is>
      </c>
      <c r="E3" s="32" t="n">
        <v>50</v>
      </c>
      <c r="F3" s="26" t="inlineStr">
        <is>
          <t>Check</t>
        </is>
      </c>
      <c r="G3" s="26" t="inlineStr">
        <is>
          <t>Annual renewal due March 1</t>
        </is>
      </c>
    </row>
    <row r="4" ht="17" customHeight="1">
      <c r="A4" s="27" t="inlineStr">
        <is>
          <t>2026-02-26</t>
        </is>
      </c>
      <c r="B4" s="27" t="inlineStr">
        <is>
          <t>Marketing</t>
        </is>
      </c>
      <c r="C4" s="27" t="inlineStr">
        <is>
          <t>Flyer print run (15 flyers)</t>
        </is>
      </c>
      <c r="D4" s="27" t="inlineStr">
        <is>
          <t>FedEx Office</t>
        </is>
      </c>
      <c r="E4" s="35" t="n">
        <v>0</v>
      </c>
      <c r="F4" s="27" t="inlineStr">
        <is>
          <t>Card</t>
        </is>
      </c>
      <c r="G4" s="27" t="inlineStr">
        <is>
          <t>Update with actual amount</t>
        </is>
      </c>
    </row>
    <row r="5" ht="17" customHeight="1">
      <c r="A5" s="26" t="inlineStr">
        <is>
          <t>2026-02-26</t>
        </is>
      </c>
      <c r="B5" s="26" t="inlineStr">
        <is>
          <t>Tools &amp; Equipment</t>
        </is>
      </c>
      <c r="C5" s="26" t="inlineStr">
        <is>
          <t>Harbor Freight tool tote + supplies</t>
        </is>
      </c>
      <c r="D5" s="26" t="inlineStr">
        <is>
          <t>Harbor Freight</t>
        </is>
      </c>
      <c r="E5" s="32" t="n">
        <v>0</v>
      </c>
      <c r="F5" s="26" t="inlineStr">
        <is>
          <t>Card</t>
        </is>
      </c>
      <c r="G5" s="26" t="inlineStr">
        <is>
          <t>Update with actual amount</t>
        </is>
      </c>
    </row>
    <row r="6" ht="17" customHeight="1">
      <c r="A6" s="27" t="inlineStr">
        <is>
          <t>2026-02-26</t>
        </is>
      </c>
      <c r="B6" s="27" t="inlineStr">
        <is>
          <t>Insurance</t>
        </is>
      </c>
      <c r="C6" s="27" t="inlineStr">
        <is>
          <t>General Liability Insurance - Feb (first month)</t>
        </is>
      </c>
      <c r="D6" s="27" t="inlineStr">
        <is>
          <t>Next Insurance</t>
        </is>
      </c>
      <c r="E6" s="35" t="n">
        <v>31.25</v>
      </c>
      <c r="F6" s="27" t="inlineStr">
        <is>
          <t>Card</t>
        </is>
      </c>
      <c r="G6" s="27" t="inlineStr">
        <is>
          <t>Monthly recurring ~$31.25/mo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DADE2"/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8" customWidth="1" min="4" max="4"/>
    <col width="10" customWidth="1" min="5" max="5"/>
    <col width="16" customWidth="1" min="6" max="6"/>
    <col width="28" customWidth="1" min="7" max="7"/>
  </cols>
  <sheetData>
    <row r="1" ht="22" customHeight="1">
      <c r="A1" s="30" t="inlineStr">
        <is>
          <t xml:space="preserve">  🚗  MILEAGE TRACKER</t>
        </is>
      </c>
    </row>
    <row r="2" ht="18" customHeight="1">
      <c r="A2" s="36" t="inlineStr">
        <is>
          <t>IRS Rate (2026):</t>
        </is>
      </c>
      <c r="B2" s="37" t="n">
        <v>0.7</v>
      </c>
      <c r="C2" s="38" t="inlineStr">
        <is>
          <t>← Update here if IRS rate changes</t>
        </is>
      </c>
      <c r="D2" s="34" t="n"/>
      <c r="E2" s="34" t="n"/>
      <c r="F2" s="34" t="n"/>
      <c r="G2" s="34" t="n"/>
    </row>
    <row r="3" ht="18" customHeight="1">
      <c r="A3" s="31" t="inlineStr">
        <is>
          <t>Date</t>
        </is>
      </c>
      <c r="B3" s="31" t="inlineStr">
        <is>
          <t>From</t>
        </is>
      </c>
      <c r="C3" s="31" t="inlineStr">
        <is>
          <t>To</t>
        </is>
      </c>
      <c r="D3" s="31" t="inlineStr">
        <is>
          <t>Purpose</t>
        </is>
      </c>
      <c r="E3" s="31" t="inlineStr">
        <is>
          <t>Miles</t>
        </is>
      </c>
      <c r="F3" s="31" t="inlineStr">
        <is>
          <t>Deduction ($)</t>
        </is>
      </c>
      <c r="G3" s="31" t="inlineStr">
        <is>
          <t>Notes</t>
        </is>
      </c>
    </row>
    <row r="4" ht="17" customHeight="1">
      <c r="A4" s="26" t="inlineStr">
        <is>
          <t>EXAMPLE</t>
        </is>
      </c>
      <c r="B4" s="26" t="inlineStr">
        <is>
          <t>Home</t>
        </is>
      </c>
      <c r="C4" s="26" t="inlineStr">
        <is>
          <t>Client address</t>
        </is>
      </c>
      <c r="D4" s="26" t="inlineStr">
        <is>
          <t>Service call</t>
        </is>
      </c>
      <c r="E4" s="39" t="n">
        <v>8.199999999999999</v>
      </c>
      <c r="F4" s="32">
        <f>E4*$B$2</f>
        <v/>
      </c>
      <c r="G4" s="26" t="inlineStr">
        <is>
          <t>Delete this row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4" customWidth="1" min="4" max="4"/>
    <col width="28" customWidth="1" min="5" max="5"/>
    <col width="28" customWidth="1" min="6" max="6"/>
    <col width="18" customWidth="1" min="7" max="7"/>
    <col width="12" customWidth="1" min="8" max="8"/>
    <col width="12" customWidth="1" min="9" max="9"/>
    <col width="16" customWidth="1" min="10" max="10"/>
    <col width="12" customWidth="1" min="11" max="11"/>
    <col width="8" customWidth="1" min="12" max="12"/>
  </cols>
  <sheetData>
    <row r="1" ht="22" customHeight="1">
      <c r="A1" s="30" t="inlineStr">
        <is>
          <t xml:space="preserve">  🔧  JOB LOG</t>
        </is>
      </c>
    </row>
    <row r="2" ht="18" customHeight="1">
      <c r="A2" s="31" t="inlineStr">
        <is>
          <t>#</t>
        </is>
      </c>
      <c r="B2" s="31" t="inlineStr">
        <is>
          <t>Date</t>
        </is>
      </c>
      <c r="C2" s="31" t="inlineStr">
        <is>
          <t>Customer</t>
        </is>
      </c>
      <c r="D2" s="31" t="inlineStr">
        <is>
          <t>Phone</t>
        </is>
      </c>
      <c r="E2" s="31" t="inlineStr">
        <is>
          <t>Issue</t>
        </is>
      </c>
      <c r="F2" s="31" t="inlineStr">
        <is>
          <t>Service Performed</t>
        </is>
      </c>
      <c r="G2" s="31" t="inlineStr">
        <is>
          <t>Parts Used</t>
        </is>
      </c>
      <c r="H2" s="31" t="inlineStr">
        <is>
          <t>Labor ($)</t>
        </is>
      </c>
      <c r="I2" s="31" t="inlineStr">
        <is>
          <t>Parts ($)</t>
        </is>
      </c>
      <c r="J2" s="31" t="inlineStr">
        <is>
          <t>Status</t>
        </is>
      </c>
      <c r="K2" s="31" t="inlineStr">
        <is>
          <t>Total ($)</t>
        </is>
      </c>
      <c r="L2" s="31" t="inlineStr">
        <is>
          <t>Paid?</t>
        </is>
      </c>
    </row>
    <row r="3" ht="14" customHeight="1">
      <c r="A3" s="40" t="inlineStr">
        <is>
          <t xml:space="preserve">  Status options: Pending | In Progress | Complete | Awaiting Parts | Closed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28" customWidth="1" min="4" max="4"/>
    <col width="20" customWidth="1" min="5" max="5"/>
    <col width="12" customWidth="1" min="6" max="6"/>
    <col width="12" customWidth="1" min="7" max="7"/>
    <col width="30" customWidth="1" min="8" max="8"/>
  </cols>
  <sheetData>
    <row r="1" ht="22" customHeight="1">
      <c r="A1" s="30" t="inlineStr">
        <is>
          <t xml:space="preserve">  👥  CLIENT ROSTER</t>
        </is>
      </c>
    </row>
    <row r="2" ht="18" customHeight="1">
      <c r="A2" s="31" t="inlineStr">
        <is>
          <t>Name</t>
        </is>
      </c>
      <c r="B2" s="31" t="inlineStr">
        <is>
          <t>Phone</t>
        </is>
      </c>
      <c r="C2" s="31" t="inlineStr">
        <is>
          <t>Email</t>
        </is>
      </c>
      <c r="D2" s="31" t="inlineStr">
        <is>
          <t>Address</t>
        </is>
      </c>
      <c r="E2" s="31" t="inlineStr">
        <is>
          <t>Device(s)</t>
        </is>
      </c>
      <c r="F2" s="31" t="inlineStr">
        <is>
          <t>First Job</t>
        </is>
      </c>
      <c r="G2" s="31" t="inlineStr">
        <is>
          <t>Last Job</t>
        </is>
      </c>
      <c r="H2" s="31" t="inlineStr">
        <is>
          <t>Notes</t>
        </is>
      </c>
    </row>
    <row r="3" ht="14" customHeight="1">
      <c r="A3" s="40" t="inlineStr">
        <is>
          <t xml:space="preserve">  Add new clients here. Update Last Job date after each service.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BC9C"/>
    <outlinePr summaryBelow="1" summaryRight="1"/>
    <pageSetUpPr/>
  </sheetPr>
  <dimension ref="A1:I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2" customWidth="1" min="4" max="4"/>
    <col width="12" customWidth="1" min="5" max="5"/>
    <col width="14" customWidth="1" min="6" max="6"/>
    <col width="10" customWidth="1" min="7" max="7"/>
    <col width="8" customWidth="1" min="8" max="8"/>
    <col width="24" customWidth="1" min="9" max="9"/>
  </cols>
  <sheetData>
    <row r="1" ht="22" customHeight="1">
      <c r="A1" s="30" t="inlineStr">
        <is>
          <t xml:space="preserve">  🔩  PARTS TRACKER</t>
        </is>
      </c>
    </row>
    <row r="2" ht="18" customHeight="1">
      <c r="A2" s="31" t="inlineStr">
        <is>
          <t>Date</t>
        </is>
      </c>
      <c r="B2" s="31" t="inlineStr">
        <is>
          <t>Part Name</t>
        </is>
      </c>
      <c r="C2" s="31" t="inlineStr">
        <is>
          <t>Supplier</t>
        </is>
      </c>
      <c r="D2" s="31" t="inlineStr">
        <is>
          <t>Cost ($)</t>
        </is>
      </c>
      <c r="E2" s="31" t="inlineStr">
        <is>
          <t>Sell Price ($)</t>
        </is>
      </c>
      <c r="F2" s="31" t="inlineStr">
        <is>
          <t>Margin ($)</t>
        </is>
      </c>
      <c r="G2" s="31" t="inlineStr">
        <is>
          <t>Margin %</t>
        </is>
      </c>
      <c r="H2" s="31" t="inlineStr">
        <is>
          <t>Job #</t>
        </is>
      </c>
      <c r="I2" s="31" t="inlineStr">
        <is>
          <t>Notes</t>
        </is>
      </c>
    </row>
    <row r="3" ht="14" customHeight="1">
      <c r="A3" s="40" t="inlineStr">
        <is>
          <t xml:space="preserve">  Margin ($) = Sell Price - Cost. Margin % = Margin/Cost. Formulas auto-fill: =E4-D4 and =F4/D4</t>
        </is>
      </c>
    </row>
    <row r="4" ht="17" customHeight="1">
      <c r="A4" s="26" t="inlineStr">
        <is>
          <t>EXAMPLE</t>
        </is>
      </c>
      <c r="B4" s="26" t="inlineStr">
        <is>
          <t>500GB SSD Samsung 870</t>
        </is>
      </c>
      <c r="C4" s="26" t="inlineStr">
        <is>
          <t>Amazon</t>
        </is>
      </c>
      <c r="D4" s="32" t="n">
        <v>45</v>
      </c>
      <c r="E4" s="32" t="n">
        <v>54</v>
      </c>
      <c r="F4" s="32">
        <f>E4-D4</f>
        <v/>
      </c>
      <c r="G4" s="41">
        <f>IFERROR(F4/D4,0)</f>
        <v/>
      </c>
      <c r="H4" s="26" t="inlineStr">
        <is>
          <t>1</t>
        </is>
      </c>
      <c r="I4" s="26" t="inlineStr">
        <is>
          <t>Delete this row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000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8" customHeight="1">
      <c r="A1" s="42" t="n"/>
      <c r="B1" s="42" t="n"/>
      <c r="C1" s="42" t="n"/>
      <c r="D1" s="42" t="n"/>
      <c r="E1" s="42" t="n"/>
      <c r="F1" s="42" t="n"/>
      <c r="G1" s="42" t="n"/>
      <c r="H1" s="42" t="n"/>
    </row>
    <row r="2" ht="38" customHeight="1">
      <c r="A2" s="43" t="inlineStr">
        <is>
          <t xml:space="preserve">  PIXEL PATCHER</t>
        </is>
      </c>
      <c r="E2" s="44" t="inlineStr">
        <is>
          <t>INVOICE</t>
        </is>
      </c>
    </row>
    <row r="3" ht="18" customHeight="1">
      <c r="A3" s="45" t="inlineStr">
        <is>
          <t xml:space="preserve">  FROM PIXELS TO PROCESSORS</t>
        </is>
      </c>
      <c r="E3" s="46" t="inlineStr">
        <is>
          <t>pixelpatcher.com  |  540-300-2577</t>
        </is>
      </c>
    </row>
    <row r="4" ht="4" customHeight="1">
      <c r="A4" s="47" t="n"/>
      <c r="B4" s="47" t="n"/>
      <c r="C4" s="47" t="n"/>
      <c r="D4" s="47" t="n"/>
      <c r="E4" s="47" t="n"/>
      <c r="F4" s="47" t="n"/>
      <c r="G4" s="47" t="n"/>
      <c r="H4" s="47" t="n"/>
    </row>
    <row r="5" ht="6" customHeight="1">
      <c r="A5" s="48" t="n"/>
      <c r="B5" s="48" t="n"/>
      <c r="C5" s="48" t="n"/>
      <c r="D5" s="48" t="n"/>
      <c r="E5" s="48" t="n"/>
      <c r="F5" s="48" t="n"/>
      <c r="G5" s="48" t="n"/>
      <c r="H5" s="48" t="n"/>
    </row>
    <row r="6" ht="20" customHeight="1">
      <c r="A6" s="49" t="inlineStr">
        <is>
          <t>Invoice #:</t>
        </is>
      </c>
      <c r="B6" s="50" t="inlineStr"/>
      <c r="C6" s="48" t="n"/>
      <c r="D6" s="48" t="n"/>
      <c r="E6" s="51" t="inlineStr">
        <is>
          <t>BILL TO</t>
        </is>
      </c>
      <c r="F6" s="48" t="n"/>
      <c r="G6" s="48" t="n"/>
      <c r="H6" s="48" t="n"/>
    </row>
    <row r="7" ht="20" customHeight="1">
      <c r="A7" s="49" t="inlineStr">
        <is>
          <t>Date:</t>
        </is>
      </c>
      <c r="B7" s="50" t="inlineStr"/>
      <c r="C7" s="48" t="n"/>
      <c r="D7" s="48" t="n"/>
      <c r="E7" s="49" t="inlineStr">
        <is>
          <t>Name:</t>
        </is>
      </c>
      <c r="F7" s="52" t="inlineStr"/>
      <c r="G7" s="53" t="n"/>
      <c r="H7" s="53" t="n"/>
    </row>
    <row r="8" ht="20" customHeight="1">
      <c r="A8" s="49" t="inlineStr">
        <is>
          <t>Due:</t>
        </is>
      </c>
      <c r="B8" s="50" t="inlineStr"/>
      <c r="C8" s="48" t="n"/>
      <c r="D8" s="48" t="n"/>
      <c r="E8" s="49" t="inlineStr">
        <is>
          <t>Phone:</t>
        </is>
      </c>
      <c r="F8" s="52" t="inlineStr"/>
      <c r="G8" s="53" t="n"/>
      <c r="H8" s="53" t="n"/>
    </row>
    <row r="9" ht="20" customHeight="1">
      <c r="A9" s="48" t="n"/>
      <c r="B9" s="48" t="n"/>
      <c r="C9" s="48" t="n"/>
      <c r="D9" s="48" t="n"/>
      <c r="E9" s="49" t="inlineStr">
        <is>
          <t>Address:</t>
        </is>
      </c>
      <c r="F9" s="52" t="inlineStr"/>
      <c r="G9" s="53" t="n"/>
      <c r="H9" s="53" t="n"/>
    </row>
    <row r="10" ht="20" customHeight="1">
      <c r="A10" s="48" t="n"/>
      <c r="B10" s="48" t="n"/>
      <c r="C10" s="48" t="n"/>
      <c r="D10" s="48" t="n"/>
      <c r="E10" s="49" t="inlineStr">
        <is>
          <t>Email:</t>
        </is>
      </c>
      <c r="F10" s="52" t="inlineStr"/>
      <c r="G10" s="53" t="n"/>
      <c r="H10" s="53" t="n"/>
    </row>
    <row r="11" ht="18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 ht="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</row>
    <row r="13" ht="20" customHeight="1">
      <c r="A13" s="54" t="inlineStr">
        <is>
          <t>#</t>
        </is>
      </c>
      <c r="B13" s="54" t="inlineStr">
        <is>
          <t>Description</t>
        </is>
      </c>
      <c r="F13" s="54" t="inlineStr">
        <is>
          <t>Qty</t>
        </is>
      </c>
      <c r="G13" s="54" t="inlineStr">
        <is>
          <t>Rate</t>
        </is>
      </c>
      <c r="H13" s="54" t="inlineStr">
        <is>
          <t>Amount</t>
        </is>
      </c>
    </row>
    <row r="14" ht="20" customHeight="1">
      <c r="A14" s="55" t="n">
        <v>1</v>
      </c>
      <c r="B14" s="55" t="n"/>
      <c r="F14" s="55" t="n"/>
      <c r="G14" s="55" t="n"/>
      <c r="H14" s="56">
        <f>IFERROR(G14*F14,0)</f>
        <v/>
      </c>
    </row>
    <row r="15" ht="20" customHeight="1">
      <c r="A15" s="57" t="n">
        <v>2</v>
      </c>
      <c r="B15" s="57" t="n"/>
      <c r="F15" s="57" t="n"/>
      <c r="G15" s="57" t="n"/>
      <c r="H15" s="58">
        <f>IFERROR(G15*F15,0)</f>
        <v/>
      </c>
    </row>
    <row r="16" ht="20" customHeight="1">
      <c r="A16" s="55" t="n">
        <v>3</v>
      </c>
      <c r="B16" s="55" t="n"/>
      <c r="F16" s="55" t="n"/>
      <c r="G16" s="55" t="n"/>
      <c r="H16" s="56">
        <f>IFERROR(G16*F16,0)</f>
        <v/>
      </c>
    </row>
    <row r="17" ht="20" customHeight="1">
      <c r="A17" s="57" t="n">
        <v>4</v>
      </c>
      <c r="B17" s="57" t="n"/>
      <c r="F17" s="57" t="n"/>
      <c r="G17" s="57" t="n"/>
      <c r="H17" s="58">
        <f>IFERROR(G17*F17,0)</f>
        <v/>
      </c>
    </row>
    <row r="18" ht="20" customHeight="1">
      <c r="A18" s="55" t="n">
        <v>5</v>
      </c>
      <c r="B18" s="55" t="n"/>
      <c r="F18" s="55" t="n"/>
      <c r="G18" s="55" t="n"/>
      <c r="H18" s="56">
        <f>IFERROR(G18*F18,0)</f>
        <v/>
      </c>
    </row>
    <row r="19" ht="20" customHeight="1">
      <c r="A19" s="57" t="n">
        <v>6</v>
      </c>
      <c r="B19" s="57" t="n"/>
      <c r="F19" s="57" t="n"/>
      <c r="G19" s="57" t="n"/>
      <c r="H19" s="58">
        <f>IFERROR(G19*F19,0)</f>
        <v/>
      </c>
    </row>
    <row r="20" ht="20" customHeight="1">
      <c r="A20" s="55" t="n">
        <v>7</v>
      </c>
      <c r="B20" s="55" t="n"/>
      <c r="F20" s="55" t="n"/>
      <c r="G20" s="55" t="n"/>
      <c r="H20" s="56">
        <f>IFERROR(G20*F20,0)</f>
        <v/>
      </c>
    </row>
    <row r="21" ht="18" customHeight="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 ht="6" customHeight="1">
      <c r="A22" s="48" t="n"/>
      <c r="B22" s="48" t="n"/>
      <c r="C22" s="48" t="n"/>
      <c r="D22" s="48" t="n"/>
      <c r="E22" s="48" t="n"/>
      <c r="F22" s="48" t="n"/>
      <c r="G22" s="48" t="n"/>
      <c r="H22" s="48" t="n"/>
    </row>
    <row r="23" ht="20" customHeight="1">
      <c r="A23" s="48" t="n"/>
      <c r="B23" s="48" t="n"/>
      <c r="C23" s="48" t="n"/>
      <c r="D23" s="48" t="n"/>
      <c r="E23" s="48" t="n"/>
      <c r="F23" s="48" t="n"/>
      <c r="G23" s="59" t="inlineStr">
        <is>
          <t>Subtotal:</t>
        </is>
      </c>
      <c r="H23" s="60">
        <f>SUM(H14:H20)</f>
        <v/>
      </c>
    </row>
    <row r="24" ht="20" customHeight="1">
      <c r="A24" s="48" t="n"/>
      <c r="B24" s="48" t="n"/>
      <c r="C24" s="48" t="n"/>
      <c r="D24" s="48" t="n"/>
      <c r="E24" s="48" t="n"/>
      <c r="F24" s="48" t="n"/>
      <c r="G24" s="59" t="inlineStr">
        <is>
          <t>Parts/Other:</t>
        </is>
      </c>
      <c r="H24" s="60" t="inlineStr"/>
    </row>
    <row r="25" ht="24" customHeight="1">
      <c r="A25" s="48" t="n"/>
      <c r="B25" s="48" t="n"/>
      <c r="C25" s="48" t="n"/>
      <c r="D25" s="48" t="n"/>
      <c r="E25" s="48" t="n"/>
      <c r="F25" s="48" t="n"/>
      <c r="G25" s="61" t="inlineStr">
        <is>
          <t>TOTAL DUE:</t>
        </is>
      </c>
      <c r="H25" s="62">
        <f>H23+H24</f>
        <v/>
      </c>
    </row>
    <row r="26" ht="18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</row>
    <row r="27" ht="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 ht="30" customHeight="1">
      <c r="A28" s="63" t="inlineStr">
        <is>
          <t xml:space="preserve">  Payment due upon completion. Accepted: Cash, Venmo, CashApp, Square. 30-day labor warranty. Thank you for choosing Pixel Patcher!</t>
        </is>
      </c>
    </row>
    <row r="29" ht="4" customHeight="1">
      <c r="A29" s="47" t="n"/>
      <c r="B29" s="47" t="n"/>
      <c r="C29" s="47" t="n"/>
      <c r="D29" s="47" t="n"/>
      <c r="E29" s="47" t="n"/>
      <c r="F29" s="47" t="n"/>
      <c r="G29" s="47" t="n"/>
      <c r="H29" s="47" t="n"/>
    </row>
    <row r="30" ht="18" customHeight="1">
      <c r="A30" s="48" t="n"/>
      <c r="B30" s="48" t="n"/>
      <c r="C30" s="48" t="n"/>
      <c r="D30" s="48" t="n"/>
      <c r="E30" s="48" t="n"/>
      <c r="F30" s="48" t="n"/>
      <c r="G30" s="48" t="n"/>
      <c r="H30" s="48" t="n"/>
    </row>
    <row r="31" ht="18" customHeight="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 ht="18" customHeight="1">
      <c r="A32" s="48" t="n"/>
      <c r="B32" s="48" t="n"/>
      <c r="C32" s="48" t="n"/>
      <c r="D32" s="48" t="n"/>
      <c r="E32" s="48" t="n"/>
      <c r="F32" s="48" t="n"/>
      <c r="G32" s="48" t="n"/>
      <c r="H32" s="48" t="n"/>
    </row>
    <row r="33" ht="18" customHeight="1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 ht="18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</row>
    <row r="35" ht="18" customHeight="1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 ht="18" customHeight="1">
      <c r="A36" s="48" t="n"/>
      <c r="B36" s="48" t="n"/>
      <c r="C36" s="48" t="n"/>
      <c r="D36" s="48" t="n"/>
      <c r="E36" s="48" t="n"/>
      <c r="F36" s="48" t="n"/>
      <c r="G36" s="48" t="n"/>
      <c r="H36" s="48" t="n"/>
    </row>
    <row r="37" ht="18" customHeight="1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 ht="18" customHeight="1">
      <c r="A38" s="48" t="n"/>
      <c r="B38" s="48" t="n"/>
      <c r="C38" s="48" t="n"/>
      <c r="D38" s="48" t="n"/>
      <c r="E38" s="48" t="n"/>
      <c r="F38" s="48" t="n"/>
      <c r="G38" s="48" t="n"/>
      <c r="H38" s="48" t="n"/>
    </row>
    <row r="39" ht="18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 ht="18" customHeight="1">
      <c r="A40" s="48" t="n"/>
      <c r="B40" s="48" t="n"/>
      <c r="C40" s="48" t="n"/>
      <c r="D40" s="48" t="n"/>
      <c r="E40" s="48" t="n"/>
      <c r="F40" s="48" t="n"/>
      <c r="G40" s="48" t="n"/>
      <c r="H40" s="48" t="n"/>
    </row>
    <row r="41" ht="18" customHeight="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 ht="18" customHeight="1">
      <c r="A42" s="48" t="n"/>
      <c r="B42" s="48" t="n"/>
      <c r="C42" s="48" t="n"/>
      <c r="D42" s="48" t="n"/>
      <c r="E42" s="48" t="n"/>
      <c r="F42" s="48" t="n"/>
      <c r="G42" s="48" t="n"/>
      <c r="H42" s="48" t="n"/>
    </row>
    <row r="43" ht="18" customHeight="1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 ht="18" customHeight="1">
      <c r="A44" s="48" t="n"/>
      <c r="B44" s="48" t="n"/>
      <c r="C44" s="48" t="n"/>
      <c r="D44" s="48" t="n"/>
      <c r="E44" s="48" t="n"/>
      <c r="F44" s="48" t="n"/>
      <c r="G44" s="48" t="n"/>
      <c r="H44" s="48" t="n"/>
    </row>
    <row r="45" ht="18" customHeight="1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 ht="18" customHeight="1">
      <c r="A46" s="48" t="n"/>
      <c r="B46" s="48" t="n"/>
      <c r="C46" s="48" t="n"/>
      <c r="D46" s="48" t="n"/>
      <c r="E46" s="48" t="n"/>
      <c r="F46" s="48" t="n"/>
      <c r="G46" s="48" t="n"/>
      <c r="H46" s="48" t="n"/>
    </row>
    <row r="47" ht="18" customHeight="1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 ht="18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</row>
    <row r="49" ht="18" customHeight="1">
      <c r="A49" s="48" t="n"/>
      <c r="B49" s="48" t="n"/>
      <c r="C49" s="48" t="n"/>
      <c r="D49" s="48" t="n"/>
      <c r="E49" s="48" t="n"/>
      <c r="F49" s="48" t="n"/>
      <c r="G49" s="48" t="n"/>
      <c r="H49" s="48" t="n"/>
    </row>
  </sheetData>
  <mergeCells count="17">
    <mergeCell ref="B20:E20"/>
    <mergeCell ref="F10:H10"/>
    <mergeCell ref="B17:E17"/>
    <mergeCell ref="B18:E18"/>
    <mergeCell ref="E3:H3"/>
    <mergeCell ref="B13:E13"/>
    <mergeCell ref="A3:D3"/>
    <mergeCell ref="B16:E16"/>
    <mergeCell ref="A28:H28"/>
    <mergeCell ref="F8:H8"/>
    <mergeCell ref="B15:E15"/>
    <mergeCell ref="A2:D2"/>
    <mergeCell ref="F7:H7"/>
    <mergeCell ref="F9:H9"/>
    <mergeCell ref="B19:E19"/>
    <mergeCell ref="E2:H2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2026-02-27T08:07:43Z</dcterms:created>
  <dcterms:modified xmlns:dcterms="http://purl.org/dc/terms/" xmlns:xsi="http://www.w3.org/2001/XMLSchema-instance" xsi:type="dcterms:W3CDTF">2026-02-27T08:07:43Z</dcterms:modified>
</cp:coreProperties>
</file>